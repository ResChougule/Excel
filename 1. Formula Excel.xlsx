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s/Downloads/"/>
    </mc:Choice>
  </mc:AlternateContent>
  <xr:revisionPtr revIDLastSave="0" documentId="8_{A5688289-26DE-A248-B831-194FE42FAF8D}" xr6:coauthVersionLast="47" xr6:coauthVersionMax="47" xr10:uidLastSave="{00000000-0000-0000-0000-000000000000}"/>
  <bookViews>
    <workbookView xWindow="0" yWindow="660" windowWidth="12340" windowHeight="12460" firstSheet="7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L2" i="7" a="1"/>
  <c r="L2" i="7" s="1"/>
  <c r="K2" i="7" a="1"/>
  <c r="K2" i="7" s="1"/>
  <c r="J2" i="7" a="1"/>
  <c r="J2" i="7" s="1"/>
  <c r="J3" i="1"/>
  <c r="J4" i="1"/>
  <c r="J5" i="1"/>
  <c r="J6" i="1"/>
  <c r="J7" i="1"/>
  <c r="J8" i="1"/>
  <c r="J9" i="1"/>
  <c r="J10" i="1"/>
  <c r="J2" i="1"/>
  <c r="J2" i="6" a="1"/>
  <c r="J2" i="6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<sst xmlns="http://schemas.openxmlformats.org/spreadsheetml/2006/main" count="583" uniqueCount="88">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</sst>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C1" zoomScale="161" workbookViewId="0">
      <selection activeCell="K4" sqref="K4"/>
    </sheetView>
  </sheetViews>
  <sheetFormatPr baseColWidth="10" defaultColWidth="13.1640625" defaultRowHeight="15" x14ac:dyDescent="0.2"/>
  <cols>
    <col min="1" max="5" width="13.1640625" style="3"/>
    <col min="6" max="6" width="17" style="3" customWidth="1"/>
    <col min="7" max="16384" width="13.1640625" style="3"/>
  </cols>
  <sheetData>
    <row r="1" spans="1:11" s="5" customFormat="1" x14ac:dyDescent="0.2">
      <c r="A1" s="5" t="s">
        <v>20</v>
      </c>
      <c r="B1" s="5" t="s">
        <v>0</v>
      </c>
      <c r="C1" s="5" t="s">
        <v>1</v>
      </c>
      <c r="D1" s="5" t="s">
        <v>23</v>
      </c>
      <c r="E1" s="5" t="s">
        <v>24</v>
      </c>
      <c r="F1" s="5" t="s">
        <v>21</v>
      </c>
      <c r="G1" s="5" t="s">
        <v>22</v>
      </c>
      <c r="H1" s="5" t="s">
        <v>36</v>
      </c>
      <c r="I1" s="5" t="s">
        <v>37</v>
      </c>
      <c r="J1" s="5" t="s">
        <v>80</v>
      </c>
      <c r="K1" s="5" t="s">
        <v>81</v>
      </c>
    </row>
    <row r="2" spans="1:11" x14ac:dyDescent="0.2">
      <c r="A2" s="3">
        <v>1001</v>
      </c>
      <c r="B2" s="3" t="s">
        <v>2</v>
      </c>
      <c r="C2" s="3" t="s">
        <v>3</v>
      </c>
      <c r="D2" s="3">
        <v>30</v>
      </c>
      <c r="E2" s="3" t="s">
        <v>26</v>
      </c>
      <c r="F2" s="3" t="s">
        <v>25</v>
      </c>
      <c r="G2" s="3">
        <v>45000</v>
      </c>
      <c r="H2" s="4">
        <v>37197</v>
      </c>
      <c r="I2" s="4">
        <v>42253</v>
      </c>
      <c r="J2" s="4">
        <f>MAX(H2:H10)</f>
        <v>37933</v>
      </c>
      <c r="K2" s="4">
        <f>MIN(H2:H10)</f>
        <v>35040</v>
      </c>
    </row>
    <row r="3" spans="1:11" x14ac:dyDescent="0.2">
      <c r="A3" s="3">
        <v>1002</v>
      </c>
      <c r="B3" s="3" t="s">
        <v>4</v>
      </c>
      <c r="C3" s="3" t="s">
        <v>5</v>
      </c>
      <c r="D3" s="3">
        <v>30</v>
      </c>
      <c r="E3" s="3" t="s">
        <v>28</v>
      </c>
      <c r="F3" s="3" t="s">
        <v>27</v>
      </c>
      <c r="G3" s="3">
        <v>36000</v>
      </c>
      <c r="H3" s="4">
        <v>36436</v>
      </c>
      <c r="I3" s="4">
        <v>42287</v>
      </c>
      <c r="J3" s="3">
        <f>MAX(G2:G10)</f>
        <v>65000</v>
      </c>
      <c r="K3" s="3">
        <f>MIN(G2:G10)</f>
        <v>36000</v>
      </c>
    </row>
    <row r="4" spans="1:11" x14ac:dyDescent="0.2">
      <c r="A4" s="3">
        <v>1003</v>
      </c>
      <c r="B4" s="3" t="s">
        <v>6</v>
      </c>
      <c r="C4" s="3" t="s">
        <v>7</v>
      </c>
      <c r="D4" s="3">
        <v>29</v>
      </c>
      <c r="E4" s="3" t="s">
        <v>26</v>
      </c>
      <c r="F4" s="3" t="s">
        <v>25</v>
      </c>
      <c r="G4" s="3">
        <v>63000</v>
      </c>
      <c r="H4" s="4">
        <v>36711</v>
      </c>
      <c r="I4" s="4">
        <v>42986</v>
      </c>
    </row>
    <row r="5" spans="1:11" x14ac:dyDescent="0.2">
      <c r="A5" s="3">
        <v>1004</v>
      </c>
      <c r="B5" s="3" t="s">
        <v>13</v>
      </c>
      <c r="C5" s="3" t="s">
        <v>12</v>
      </c>
      <c r="D5" s="3">
        <v>31</v>
      </c>
      <c r="E5" s="3" t="s">
        <v>28</v>
      </c>
      <c r="F5" s="3" t="s">
        <v>29</v>
      </c>
      <c r="G5" s="3">
        <v>47000</v>
      </c>
      <c r="H5" s="4">
        <v>36530</v>
      </c>
      <c r="I5" s="4">
        <v>42341</v>
      </c>
    </row>
    <row r="6" spans="1:11" x14ac:dyDescent="0.2">
      <c r="A6" s="3">
        <v>1005</v>
      </c>
      <c r="B6" s="3" t="s">
        <v>14</v>
      </c>
      <c r="C6" s="3" t="s">
        <v>15</v>
      </c>
      <c r="D6" s="3">
        <v>32</v>
      </c>
      <c r="E6" s="3" t="s">
        <v>26</v>
      </c>
      <c r="F6" s="3" t="s">
        <v>30</v>
      </c>
      <c r="G6" s="3">
        <v>50000</v>
      </c>
      <c r="H6" s="4">
        <v>37017</v>
      </c>
      <c r="I6" s="4">
        <v>42977</v>
      </c>
    </row>
    <row r="7" spans="1:11" x14ac:dyDescent="0.2">
      <c r="A7" s="3">
        <v>1006</v>
      </c>
      <c r="B7" s="3" t="s">
        <v>8</v>
      </c>
      <c r="C7" s="3" t="s">
        <v>9</v>
      </c>
      <c r="D7" s="3">
        <v>35</v>
      </c>
      <c r="E7" s="3" t="s">
        <v>26</v>
      </c>
      <c r="F7" s="3" t="s">
        <v>31</v>
      </c>
      <c r="G7" s="3">
        <v>65000</v>
      </c>
      <c r="H7" s="4">
        <v>35040</v>
      </c>
      <c r="I7" s="4">
        <v>41528</v>
      </c>
    </row>
    <row r="8" spans="1:11" x14ac:dyDescent="0.2">
      <c r="A8" s="3">
        <v>1007</v>
      </c>
      <c r="B8" s="3" t="s">
        <v>33</v>
      </c>
      <c r="C8" s="3" t="s">
        <v>34</v>
      </c>
      <c r="D8" s="3">
        <v>32</v>
      </c>
      <c r="E8" s="3" t="s">
        <v>28</v>
      </c>
      <c r="F8" s="3" t="s">
        <v>32</v>
      </c>
      <c r="G8" s="3">
        <v>41000</v>
      </c>
      <c r="H8" s="4">
        <v>37933</v>
      </c>
      <c r="I8" s="4">
        <v>41551</v>
      </c>
    </row>
    <row r="9" spans="1:11" x14ac:dyDescent="0.2">
      <c r="A9" s="3">
        <v>1008</v>
      </c>
      <c r="B9" s="3" t="s">
        <v>16</v>
      </c>
      <c r="C9" s="3" t="s">
        <v>17</v>
      </c>
      <c r="D9" s="3">
        <v>38</v>
      </c>
      <c r="E9" s="3" t="s">
        <v>26</v>
      </c>
      <c r="F9" s="3" t="s">
        <v>25</v>
      </c>
      <c r="G9" s="3">
        <v>48000</v>
      </c>
      <c r="H9" s="4">
        <v>37416</v>
      </c>
      <c r="I9" s="4">
        <v>42116</v>
      </c>
    </row>
    <row r="10" spans="1:11" x14ac:dyDescent="0.2">
      <c r="A10" s="3">
        <v>1009</v>
      </c>
      <c r="B10" s="3" t="s">
        <v>10</v>
      </c>
      <c r="C10" s="3" t="s">
        <v>11</v>
      </c>
      <c r="D10" s="3">
        <v>31</v>
      </c>
      <c r="E10" s="3" t="s">
        <v>26</v>
      </c>
      <c r="F10" s="3" t="s">
        <v>29</v>
      </c>
      <c r="G10" s="3">
        <v>42000</v>
      </c>
      <c r="H10" s="4">
        <v>37843</v>
      </c>
      <c r="I10" s="4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G15" sqref="G15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0" max="10" width="17.1640625" customWidth="1"/>
    <col min="11" max="11" width="18.83203125" customWidth="1"/>
  </cols>
  <sheetData>
    <row r="1" spans="1:11" s="6" customFormat="1" x14ac:dyDescent="0.2">
      <c r="A1" s="6" t="s">
        <v>20</v>
      </c>
      <c r="B1" s="6" t="s">
        <v>0</v>
      </c>
      <c r="C1" s="6" t="s">
        <v>1</v>
      </c>
      <c r="D1" s="6" t="s">
        <v>23</v>
      </c>
      <c r="E1" s="6" t="s">
        <v>24</v>
      </c>
      <c r="F1" s="6" t="s">
        <v>21</v>
      </c>
      <c r="G1" s="6" t="s">
        <v>22</v>
      </c>
      <c r="H1" s="6" t="s">
        <v>36</v>
      </c>
      <c r="I1" s="6" t="s">
        <v>37</v>
      </c>
      <c r="J1" s="6" t="s">
        <v>82</v>
      </c>
      <c r="K1" s="6" t="s">
        <v>83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 "Younge")</f>
        <v>Younge</v>
      </c>
      <c r="K2" t="str" cm="1">
        <f t="array" ref="K2:K10">_xlfn.IFS(F2:F10="Salesman","Sales",F2:F10="HR","Fire")</f>
        <v>Sales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Younge</v>
      </c>
      <c r="K3" t="e">
        <v>#N/A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Younge</v>
      </c>
      <c r="K4" t="str">
        <v>Sales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T10"/>
  <sheetViews>
    <sheetView workbookViewId="0">
      <selection activeCell="D13" sqref="D13"/>
    </sheetView>
  </sheetViews>
  <sheetFormatPr baseColWidth="10" defaultColWidth="10.83203125" defaultRowHeight="15" x14ac:dyDescent="0.2"/>
  <cols>
    <col min="1" max="1" width="10.83203125" bestFit="1" customWidth="1"/>
  </cols>
  <sheetData>
    <row r="1" spans="1:20" s="6" customFormat="1" x14ac:dyDescent="0.2">
      <c r="A1" s="6" t="s">
        <v>20</v>
      </c>
      <c r="B1" s="6" t="s">
        <v>0</v>
      </c>
      <c r="C1" s="6" t="s">
        <v>1</v>
      </c>
      <c r="D1" s="6" t="s">
        <v>23</v>
      </c>
      <c r="E1" s="6" t="s">
        <v>24</v>
      </c>
      <c r="F1" s="6" t="s">
        <v>21</v>
      </c>
      <c r="G1" s="6" t="s">
        <v>22</v>
      </c>
      <c r="H1" s="6" t="s">
        <v>36</v>
      </c>
      <c r="I1" s="6" t="s">
        <v>37</v>
      </c>
      <c r="J1" s="6" t="s">
        <v>19</v>
      </c>
      <c r="L1" s="5" t="s">
        <v>35</v>
      </c>
      <c r="M1" s="5"/>
      <c r="N1" s="5"/>
      <c r="O1" s="5"/>
      <c r="P1" s="5"/>
      <c r="Q1" s="5"/>
      <c r="R1" s="5"/>
      <c r="S1" s="5"/>
      <c r="T1" s="5"/>
    </row>
    <row r="2" spans="1:20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20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20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20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20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20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20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20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20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C1" workbookViewId="0">
      <selection activeCell="M3" sqref="M3"/>
    </sheetView>
  </sheetViews>
  <sheetFormatPr baseColWidth="10" defaultColWidth="14.5" defaultRowHeight="15" x14ac:dyDescent="0.2"/>
  <cols>
    <col min="4" max="4" width="8" customWidth="1"/>
    <col min="10" max="10" width="36.83203125" customWidth="1"/>
  </cols>
  <sheetData>
    <row r="1" spans="1:13" s="6" customFormat="1" x14ac:dyDescent="0.2">
      <c r="A1" s="6" t="s">
        <v>20</v>
      </c>
      <c r="B1" s="6" t="s">
        <v>0</v>
      </c>
      <c r="C1" s="6" t="s">
        <v>1</v>
      </c>
      <c r="D1" s="6" t="s">
        <v>23</v>
      </c>
      <c r="E1" s="6" t="s">
        <v>24</v>
      </c>
      <c r="F1" s="6" t="s">
        <v>21</v>
      </c>
      <c r="G1" s="6" t="s">
        <v>22</v>
      </c>
      <c r="H1" s="6" t="s">
        <v>36</v>
      </c>
      <c r="I1" s="6" t="s">
        <v>37</v>
      </c>
      <c r="J1" s="6" t="s">
        <v>38</v>
      </c>
      <c r="K1" s="6" t="s">
        <v>86</v>
      </c>
      <c r="L1" s="6" t="s">
        <v>87</v>
      </c>
      <c r="M1" s="6" t="s">
        <v>87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3" sqref="J3"/>
    </sheetView>
  </sheetViews>
  <sheetFormatPr baseColWidth="10" defaultColWidth="13.6640625" defaultRowHeight="15" x14ac:dyDescent="0.2"/>
  <cols>
    <col min="1" max="1" width="10.83203125" style="3" bestFit="1" customWidth="1"/>
    <col min="2" max="3" width="13.6640625" style="3"/>
    <col min="4" max="4" width="7.6640625" style="3" customWidth="1"/>
    <col min="5" max="5" width="13.6640625" style="3"/>
    <col min="6" max="6" width="17.6640625" style="3" customWidth="1"/>
    <col min="7" max="9" width="13.6640625" style="3"/>
    <col min="10" max="10" width="25" style="3" customWidth="1"/>
    <col min="11" max="16384" width="13.6640625" style="3"/>
  </cols>
  <sheetData>
    <row r="1" spans="1:11" s="5" customFormat="1" x14ac:dyDescent="0.2">
      <c r="A1" s="5" t="s">
        <v>20</v>
      </c>
      <c r="B1" s="5" t="s">
        <v>0</v>
      </c>
      <c r="C1" s="5" t="s">
        <v>1</v>
      </c>
      <c r="D1" s="5" t="s">
        <v>23</v>
      </c>
      <c r="E1" s="5" t="s">
        <v>24</v>
      </c>
      <c r="F1" s="5" t="s">
        <v>21</v>
      </c>
      <c r="G1" s="5" t="s">
        <v>22</v>
      </c>
      <c r="H1" s="5" t="s">
        <v>36</v>
      </c>
      <c r="I1" s="5" t="s">
        <v>37</v>
      </c>
      <c r="J1" s="5" t="s">
        <v>70</v>
      </c>
    </row>
    <row r="2" spans="1:11" x14ac:dyDescent="0.2">
      <c r="A2" s="3">
        <v>1001</v>
      </c>
      <c r="B2" s="3" t="s">
        <v>2</v>
      </c>
      <c r="C2" s="3" t="s">
        <v>3</v>
      </c>
      <c r="D2" s="3">
        <v>30</v>
      </c>
      <c r="E2" s="3" t="s">
        <v>26</v>
      </c>
      <c r="F2" s="3" t="s">
        <v>25</v>
      </c>
      <c r="G2" s="3">
        <v>45000</v>
      </c>
      <c r="H2" s="4">
        <v>37197</v>
      </c>
      <c r="I2" s="4">
        <v>42253</v>
      </c>
      <c r="J2" s="3" t="str" cm="1">
        <f t="array" ref="J2:J10">TEXT(H2:H10, "dd/mm/yyy")</f>
        <v>02/11/2001</v>
      </c>
      <c r="K2" s="7"/>
    </row>
    <row r="3" spans="1:11" x14ac:dyDescent="0.2">
      <c r="A3" s="3">
        <v>1002</v>
      </c>
      <c r="B3" s="3" t="s">
        <v>4</v>
      </c>
      <c r="C3" s="3" t="s">
        <v>5</v>
      </c>
      <c r="D3" s="3">
        <v>30</v>
      </c>
      <c r="E3" s="3" t="s">
        <v>28</v>
      </c>
      <c r="F3" s="3" t="s">
        <v>27</v>
      </c>
      <c r="G3" s="3">
        <v>36000</v>
      </c>
      <c r="H3" s="4">
        <v>36436</v>
      </c>
      <c r="I3" s="4">
        <v>42287</v>
      </c>
      <c r="J3" s="3" t="str">
        <v>03/10/1999</v>
      </c>
      <c r="K3" s="7"/>
    </row>
    <row r="4" spans="1:11" x14ac:dyDescent="0.2">
      <c r="A4" s="3">
        <v>1003</v>
      </c>
      <c r="B4" s="3" t="s">
        <v>6</v>
      </c>
      <c r="C4" s="3" t="s">
        <v>7</v>
      </c>
      <c r="D4" s="3">
        <v>29</v>
      </c>
      <c r="E4" s="3" t="s">
        <v>26</v>
      </c>
      <c r="F4" s="3" t="s">
        <v>25</v>
      </c>
      <c r="G4" s="3">
        <v>63000</v>
      </c>
      <c r="H4" s="4">
        <v>36711</v>
      </c>
      <c r="I4" s="4">
        <v>42986</v>
      </c>
      <c r="J4" s="3" t="str">
        <v>04/07/2000</v>
      </c>
      <c r="K4" s="7"/>
    </row>
    <row r="5" spans="1:11" x14ac:dyDescent="0.2">
      <c r="A5" s="3">
        <v>1004</v>
      </c>
      <c r="B5" s="3" t="s">
        <v>13</v>
      </c>
      <c r="C5" s="3" t="s">
        <v>12</v>
      </c>
      <c r="D5" s="3">
        <v>31</v>
      </c>
      <c r="E5" s="3" t="s">
        <v>28</v>
      </c>
      <c r="F5" s="3" t="s">
        <v>29</v>
      </c>
      <c r="G5" s="3">
        <v>47000</v>
      </c>
      <c r="H5" s="4">
        <v>36530</v>
      </c>
      <c r="I5" s="4">
        <v>42341</v>
      </c>
      <c r="J5" s="3" t="str">
        <v>05/01/2000</v>
      </c>
      <c r="K5" s="7"/>
    </row>
    <row r="6" spans="1:11" x14ac:dyDescent="0.2">
      <c r="A6" s="3">
        <v>1005</v>
      </c>
      <c r="B6" s="3" t="s">
        <v>14</v>
      </c>
      <c r="C6" s="3" t="s">
        <v>15</v>
      </c>
      <c r="D6" s="3">
        <v>32</v>
      </c>
      <c r="E6" s="3" t="s">
        <v>26</v>
      </c>
      <c r="F6" s="3" t="s">
        <v>30</v>
      </c>
      <c r="G6" s="3">
        <v>50000</v>
      </c>
      <c r="H6" s="4">
        <v>37017</v>
      </c>
      <c r="I6" s="4">
        <v>42977</v>
      </c>
      <c r="J6" s="3" t="str">
        <v>06/05/2001</v>
      </c>
      <c r="K6" s="7"/>
    </row>
    <row r="7" spans="1:11" x14ac:dyDescent="0.2">
      <c r="A7" s="3">
        <v>1006</v>
      </c>
      <c r="B7" s="3" t="s">
        <v>8</v>
      </c>
      <c r="C7" s="3" t="s">
        <v>9</v>
      </c>
      <c r="D7" s="3">
        <v>35</v>
      </c>
      <c r="E7" s="3" t="s">
        <v>26</v>
      </c>
      <c r="F7" s="3" t="s">
        <v>31</v>
      </c>
      <c r="G7" s="3">
        <v>65000</v>
      </c>
      <c r="H7" s="4">
        <v>35040</v>
      </c>
      <c r="I7" s="4">
        <v>41528</v>
      </c>
      <c r="J7" s="3" t="str">
        <v>07/12/1995</v>
      </c>
      <c r="K7" s="7"/>
    </row>
    <row r="8" spans="1:11" x14ac:dyDescent="0.2">
      <c r="A8" s="3">
        <v>1007</v>
      </c>
      <c r="B8" s="3" t="s">
        <v>33</v>
      </c>
      <c r="C8" s="3" t="s">
        <v>34</v>
      </c>
      <c r="D8" s="3">
        <v>32</v>
      </c>
      <c r="E8" s="3" t="s">
        <v>28</v>
      </c>
      <c r="F8" s="3" t="s">
        <v>32</v>
      </c>
      <c r="G8" s="3">
        <v>41000</v>
      </c>
      <c r="H8" s="4">
        <v>37933</v>
      </c>
      <c r="I8" s="4">
        <v>41551</v>
      </c>
      <c r="J8" s="3" t="str">
        <v>08/11/2003</v>
      </c>
      <c r="K8" s="7"/>
    </row>
    <row r="9" spans="1:11" x14ac:dyDescent="0.2">
      <c r="A9" s="3">
        <v>1008</v>
      </c>
      <c r="B9" s="3" t="s">
        <v>16</v>
      </c>
      <c r="C9" s="3" t="s">
        <v>17</v>
      </c>
      <c r="D9" s="3">
        <v>38</v>
      </c>
      <c r="E9" s="3" t="s">
        <v>26</v>
      </c>
      <c r="F9" s="3" t="s">
        <v>25</v>
      </c>
      <c r="G9" s="3">
        <v>48000</v>
      </c>
      <c r="H9" s="4">
        <v>37416</v>
      </c>
      <c r="I9" s="4">
        <v>42116</v>
      </c>
      <c r="J9" s="3" t="str">
        <v>09/06/2002</v>
      </c>
      <c r="K9" s="7"/>
    </row>
    <row r="10" spans="1:11" x14ac:dyDescent="0.2">
      <c r="A10" s="3">
        <v>1009</v>
      </c>
      <c r="B10" s="3" t="s">
        <v>10</v>
      </c>
      <c r="C10" s="3" t="s">
        <v>11</v>
      </c>
      <c r="D10" s="3">
        <v>31</v>
      </c>
      <c r="E10" s="3" t="s">
        <v>26</v>
      </c>
      <c r="F10" s="3" t="s">
        <v>29</v>
      </c>
      <c r="G10" s="3">
        <v>42000</v>
      </c>
      <c r="H10" s="4">
        <v>37843</v>
      </c>
      <c r="I10" s="4">
        <v>40800</v>
      </c>
      <c r="J10" s="3" t="str">
        <v>10/08/2003</v>
      </c>
      <c r="K10" s="7"/>
    </row>
    <row r="12" spans="1:11" x14ac:dyDescent="0.2">
      <c r="H12" s="4"/>
    </row>
    <row r="13" spans="1:11" x14ac:dyDescent="0.2">
      <c r="H1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baseColWidth="10" defaultColWidth="13.6640625" defaultRowHeight="15" x14ac:dyDescent="0.2"/>
  <cols>
    <col min="1" max="1" width="10.83203125" style="3" bestFit="1" customWidth="1"/>
    <col min="2" max="3" width="13.6640625" style="3"/>
    <col min="4" max="4" width="7.6640625" style="3" customWidth="1"/>
    <col min="5" max="16384" width="13.6640625" style="3"/>
  </cols>
  <sheetData>
    <row r="1" spans="1:11" s="5" customFormat="1" x14ac:dyDescent="0.2">
      <c r="A1" s="5" t="s">
        <v>20</v>
      </c>
      <c r="B1" s="5" t="s">
        <v>0</v>
      </c>
      <c r="C1" s="5" t="s">
        <v>1</v>
      </c>
      <c r="D1" s="5" t="s">
        <v>23</v>
      </c>
      <c r="E1" s="5" t="s">
        <v>24</v>
      </c>
      <c r="F1" s="5" t="s">
        <v>21</v>
      </c>
      <c r="G1" s="5" t="s">
        <v>22</v>
      </c>
      <c r="H1" s="5" t="s">
        <v>36</v>
      </c>
      <c r="I1" s="5" t="s">
        <v>37</v>
      </c>
      <c r="J1" s="5" t="s">
        <v>68</v>
      </c>
      <c r="K1" s="5" t="s">
        <v>69</v>
      </c>
    </row>
    <row r="2" spans="1:11" x14ac:dyDescent="0.2">
      <c r="A2" s="3">
        <v>1001</v>
      </c>
      <c r="B2" s="7" t="s">
        <v>2</v>
      </c>
      <c r="C2" s="7" t="s">
        <v>3</v>
      </c>
      <c r="D2" s="3">
        <v>30</v>
      </c>
      <c r="E2" s="3" t="s">
        <v>26</v>
      </c>
      <c r="F2" s="3" t="s">
        <v>25</v>
      </c>
      <c r="G2" s="3">
        <v>45000</v>
      </c>
      <c r="H2" s="4">
        <v>37197</v>
      </c>
      <c r="I2" s="4">
        <v>42253</v>
      </c>
      <c r="J2" s="3" t="str" cm="1">
        <f t="array" ref="J2:J10">TRIM(C2:C10)</f>
        <v>Halpert</v>
      </c>
    </row>
    <row r="3" spans="1:11" x14ac:dyDescent="0.2">
      <c r="A3" s="3">
        <v>1002</v>
      </c>
      <c r="B3" s="7" t="s">
        <v>4</v>
      </c>
      <c r="C3" s="7" t="s">
        <v>5</v>
      </c>
      <c r="D3" s="3">
        <v>30</v>
      </c>
      <c r="E3" s="3" t="s">
        <v>28</v>
      </c>
      <c r="F3" s="3" t="s">
        <v>27</v>
      </c>
      <c r="G3" s="3">
        <v>36000</v>
      </c>
      <c r="H3" s="4">
        <v>36436</v>
      </c>
      <c r="I3" s="4">
        <v>42287</v>
      </c>
      <c r="J3" s="3" t="str">
        <v>Beasley</v>
      </c>
    </row>
    <row r="4" spans="1:11" x14ac:dyDescent="0.2">
      <c r="A4" s="3">
        <v>1003</v>
      </c>
      <c r="B4" s="7" t="s">
        <v>6</v>
      </c>
      <c r="C4" s="7" t="s">
        <v>67</v>
      </c>
      <c r="D4" s="3">
        <v>29</v>
      </c>
      <c r="E4" s="3" t="s">
        <v>26</v>
      </c>
      <c r="F4" s="3" t="s">
        <v>25</v>
      </c>
      <c r="G4" s="3">
        <v>63000</v>
      </c>
      <c r="H4" s="4">
        <v>36711</v>
      </c>
      <c r="I4" s="4">
        <v>42986</v>
      </c>
      <c r="J4" s="3" t="str">
        <v>Schrute</v>
      </c>
    </row>
    <row r="5" spans="1:11" x14ac:dyDescent="0.2">
      <c r="A5" s="3">
        <v>1004</v>
      </c>
      <c r="B5" s="7" t="s">
        <v>13</v>
      </c>
      <c r="C5" s="7" t="s">
        <v>12</v>
      </c>
      <c r="D5" s="3">
        <v>31</v>
      </c>
      <c r="E5" s="3" t="s">
        <v>28</v>
      </c>
      <c r="F5" s="3" t="s">
        <v>29</v>
      </c>
      <c r="G5" s="3">
        <v>47000</v>
      </c>
      <c r="H5" s="4">
        <v>36530</v>
      </c>
      <c r="I5" s="4">
        <v>42341</v>
      </c>
      <c r="J5" s="3" t="str">
        <v>Martin</v>
      </c>
    </row>
    <row r="6" spans="1:11" x14ac:dyDescent="0.2">
      <c r="A6" s="3">
        <v>1005</v>
      </c>
      <c r="B6" s="7" t="s">
        <v>14</v>
      </c>
      <c r="C6" s="7" t="s">
        <v>66</v>
      </c>
      <c r="D6" s="3">
        <v>32</v>
      </c>
      <c r="E6" s="3" t="s">
        <v>26</v>
      </c>
      <c r="F6" s="3" t="s">
        <v>30</v>
      </c>
      <c r="G6" s="3">
        <v>50000</v>
      </c>
      <c r="H6" s="4">
        <v>37017</v>
      </c>
      <c r="I6" s="4">
        <v>42977</v>
      </c>
      <c r="J6" s="3" t="str">
        <v>Flenderson</v>
      </c>
    </row>
    <row r="7" spans="1:11" x14ac:dyDescent="0.2">
      <c r="A7" s="3">
        <v>1006</v>
      </c>
      <c r="B7" s="7" t="s">
        <v>8</v>
      </c>
      <c r="C7" s="7" t="s">
        <v>65</v>
      </c>
      <c r="D7" s="3">
        <v>35</v>
      </c>
      <c r="E7" s="3" t="s">
        <v>26</v>
      </c>
      <c r="F7" s="3" t="s">
        <v>31</v>
      </c>
      <c r="G7" s="3">
        <v>65000</v>
      </c>
      <c r="H7" s="4">
        <v>35040</v>
      </c>
      <c r="I7" s="4">
        <v>41528</v>
      </c>
      <c r="J7" s="3" t="str">
        <v>Scott</v>
      </c>
    </row>
    <row r="8" spans="1:11" x14ac:dyDescent="0.2">
      <c r="A8" s="3">
        <v>1007</v>
      </c>
      <c r="B8" s="7" t="s">
        <v>33</v>
      </c>
      <c r="C8" s="7" t="s">
        <v>34</v>
      </c>
      <c r="D8" s="3">
        <v>32</v>
      </c>
      <c r="E8" s="3" t="s">
        <v>28</v>
      </c>
      <c r="F8" s="3" t="s">
        <v>32</v>
      </c>
      <c r="G8" s="3">
        <v>41000</v>
      </c>
      <c r="H8" s="4">
        <v>37933</v>
      </c>
      <c r="I8" s="4">
        <v>41551</v>
      </c>
      <c r="J8" s="3" t="str">
        <v>Palmer</v>
      </c>
    </row>
    <row r="9" spans="1:11" x14ac:dyDescent="0.2">
      <c r="A9" s="3">
        <v>1008</v>
      </c>
      <c r="B9" s="7" t="s">
        <v>16</v>
      </c>
      <c r="C9" s="7" t="s">
        <v>64</v>
      </c>
      <c r="D9" s="3">
        <v>38</v>
      </c>
      <c r="E9" s="3" t="s">
        <v>26</v>
      </c>
      <c r="F9" s="3" t="s">
        <v>25</v>
      </c>
      <c r="G9" s="3">
        <v>48000</v>
      </c>
      <c r="H9" s="4">
        <v>37416</v>
      </c>
      <c r="I9" s="4">
        <v>42116</v>
      </c>
      <c r="J9" s="3" t="str">
        <v>Hudson</v>
      </c>
    </row>
    <row r="10" spans="1:11" x14ac:dyDescent="0.2">
      <c r="A10" s="3">
        <v>1009</v>
      </c>
      <c r="B10" s="7" t="s">
        <v>10</v>
      </c>
      <c r="C10" s="7" t="s">
        <v>63</v>
      </c>
      <c r="D10" s="3">
        <v>31</v>
      </c>
      <c r="E10" s="3" t="s">
        <v>26</v>
      </c>
      <c r="F10" s="3" t="s">
        <v>29</v>
      </c>
      <c r="G10" s="3">
        <v>42000</v>
      </c>
      <c r="H10" s="4">
        <v>37843</v>
      </c>
      <c r="I10" s="4">
        <v>40800</v>
      </c>
      <c r="J10" s="3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K4" sqref="K4"/>
    </sheetView>
  </sheetViews>
  <sheetFormatPr baseColWidth="10" defaultColWidth="8.83203125" defaultRowHeight="15" x14ac:dyDescent="0.2"/>
  <cols>
    <col min="2" max="2" width="10.5" customWidth="1"/>
    <col min="3" max="5" width="10.6640625" customWidth="1"/>
    <col min="6" max="6" width="16.5" customWidth="1"/>
    <col min="8" max="8" width="14.1640625" customWidth="1"/>
    <col min="9" max="9" width="14.83203125" customWidth="1"/>
    <col min="10" max="10" width="22" bestFit="1" customWidth="1"/>
  </cols>
  <sheetData>
    <row r="1" spans="1:10" s="6" customFormat="1" x14ac:dyDescent="0.2">
      <c r="A1" s="6" t="s">
        <v>20</v>
      </c>
      <c r="B1" s="6" t="s">
        <v>0</v>
      </c>
      <c r="C1" s="6" t="s">
        <v>1</v>
      </c>
      <c r="D1" s="6" t="s">
        <v>23</v>
      </c>
      <c r="E1" s="6" t="s">
        <v>24</v>
      </c>
      <c r="F1" s="6" t="s">
        <v>21</v>
      </c>
      <c r="G1" s="6" t="s">
        <v>22</v>
      </c>
      <c r="H1" s="6" t="s">
        <v>36</v>
      </c>
      <c r="I1" s="6" t="s">
        <v>37</v>
      </c>
      <c r="J1" s="6" t="s">
        <v>18</v>
      </c>
    </row>
    <row r="2" spans="1:10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</row>
    <row r="3" spans="1:10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</row>
    <row r="4" spans="1:10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2">
      <c r="H11" t="str">
        <f t="shared" ref="H11:H12" si="1">CONCATENATE(B11," ",C11)</f>
        <v xml:space="preserve"> </v>
      </c>
    </row>
    <row r="12" spans="1:10" x14ac:dyDescent="0.2">
      <c r="H12" t="str">
        <f t="shared" si="1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B1"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s="6" customFormat="1" x14ac:dyDescent="0.2">
      <c r="A1" s="6" t="s">
        <v>20</v>
      </c>
      <c r="B1" s="6" t="s">
        <v>0</v>
      </c>
      <c r="C1" s="6" t="s">
        <v>1</v>
      </c>
      <c r="D1" s="6" t="s">
        <v>23</v>
      </c>
      <c r="E1" s="6" t="s">
        <v>24</v>
      </c>
      <c r="F1" s="6" t="s">
        <v>21</v>
      </c>
      <c r="G1" s="6" t="s">
        <v>22</v>
      </c>
      <c r="H1" s="6" t="s">
        <v>36</v>
      </c>
      <c r="I1" s="6" t="s">
        <v>37</v>
      </c>
      <c r="J1" s="6" t="s">
        <v>71</v>
      </c>
      <c r="K1" s="6" t="s">
        <v>72</v>
      </c>
      <c r="L1" s="6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SUBSTITUTE(H2:H10,"/","-")</f>
        <v>11-2-2001</v>
      </c>
      <c r="K2" t="str" cm="1">
        <f t="array" ref="K2:K10">SUBSTITUTE(H2:H10,"/","-",1)</f>
        <v>11-2/2001</v>
      </c>
      <c r="L2" t="str" cm="1">
        <f t="array" ref="L2:L10">SUBSTITUTE(H2:H10,"/","-",2)</f>
        <v>11/2-2001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10-3-1999</v>
      </c>
      <c r="K3" t="str">
        <v>10-3/1999</v>
      </c>
      <c r="L3" t="str">
        <v>10/3-1999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7-4-2000</v>
      </c>
      <c r="K4" t="str">
        <v>7-4/2000</v>
      </c>
      <c r="L4" t="str">
        <v>7/4-2000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1-5-2000</v>
      </c>
      <c r="K5" t="str">
        <v>1-5/2000</v>
      </c>
      <c r="L5" t="str">
        <v>1/5-2000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5-6-2001</v>
      </c>
      <c r="K6" t="str">
        <v>5-6/2001</v>
      </c>
      <c r="L6" t="str">
        <v>5/6-2001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5-6-2001</v>
      </c>
      <c r="K7" t="str">
        <v>5-6/2001</v>
      </c>
      <c r="L7" t="str">
        <v>5/6-2001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11-8-2003</v>
      </c>
      <c r="K8" t="str">
        <v>11-8/2003</v>
      </c>
      <c r="L8" t="str">
        <v>11/8-2003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6-9-2002</v>
      </c>
      <c r="K9" t="str">
        <v>6-9/2002</v>
      </c>
      <c r="L9" t="str">
        <v>6/9-2002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8-10-2003</v>
      </c>
      <c r="K10" t="str">
        <v>8-10/2003</v>
      </c>
      <c r="L10" t="str">
        <v>8/10-2003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J14" sqref="J14"/>
    </sheetView>
  </sheetViews>
  <sheetFormatPr baseColWidth="10" defaultColWidth="13" defaultRowHeight="15" x14ac:dyDescent="0.2"/>
  <cols>
    <col min="12" max="12" width="16.1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E1"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COUNTIF(G2:G10,"&gt;50000")</f>
        <v>2</v>
      </c>
      <c r="L2">
        <f>COUNTIFS(A2:A10,"&gt;1005",E2:E10,"male")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O17" sqref="O17"/>
    </sheetView>
  </sheetViews>
  <sheetFormatPr baseColWidth="10" defaultColWidth="11.6640625" defaultRowHeight="15" x14ac:dyDescent="0.2"/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reshma chougule</cp:lastModifiedBy>
  <dcterms:created xsi:type="dcterms:W3CDTF">2021-12-16T14:18:34Z</dcterms:created>
  <dcterms:modified xsi:type="dcterms:W3CDTF">2026-04-06T20:18:40Z</dcterms:modified>
</cp:coreProperties>
</file>